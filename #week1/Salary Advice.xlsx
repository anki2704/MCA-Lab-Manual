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6156e6d6a93d239/Desktop/MCA Lab Manual 1sem/#week1/"/>
    </mc:Choice>
  </mc:AlternateContent>
  <xr:revisionPtr revIDLastSave="4" documentId="13_ncr:1_{9F90FF64-D8A5-48E6-AB58-CB2A795B1185}" xr6:coauthVersionLast="47" xr6:coauthVersionMax="47" xr10:uidLastSave="{4DCFEA81-3B14-4472-A058-ECE6A2523123}"/>
  <bookViews>
    <workbookView xWindow="-108" yWindow="-108" windowWidth="23256" windowHeight="13176" xr2:uid="{51C7D567-52AE-448B-987D-166244B38C84}"/>
  </bookViews>
  <sheets>
    <sheet name="Sheet1 (2)" sheetId="3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0" i="3" l="1"/>
  <c r="B9" i="3"/>
  <c r="B12" i="3" s="1"/>
  <c r="E10" i="3"/>
  <c r="E12" i="3" s="1"/>
  <c r="E8" i="3"/>
  <c r="B8" i="3"/>
  <c r="B10" i="1"/>
  <c r="B9" i="1"/>
  <c r="B8" i="1"/>
  <c r="E8" i="1" s="1"/>
  <c r="B14" i="3" l="1"/>
  <c r="E10" i="1"/>
  <c r="E12" i="1" s="1"/>
  <c r="B12" i="1"/>
  <c r="B14" i="1" l="1"/>
</calcChain>
</file>

<file path=xl/sharedStrings.xml><?xml version="1.0" encoding="utf-8"?>
<sst xmlns="http://schemas.openxmlformats.org/spreadsheetml/2006/main" count="42" uniqueCount="21">
  <si>
    <t>Employee</t>
  </si>
  <si>
    <t>T Marongo</t>
  </si>
  <si>
    <t>Staff</t>
  </si>
  <si>
    <t xml:space="preserve">Date </t>
  </si>
  <si>
    <t>Next Pay Date</t>
  </si>
  <si>
    <t>BASIC SALARY p.a.</t>
  </si>
  <si>
    <t>INCOME</t>
  </si>
  <si>
    <t>Basic Salary</t>
  </si>
  <si>
    <r>
      <rPr>
        <b/>
        <sz val="11"/>
        <color theme="1"/>
        <rFont val="Calibri"/>
        <family val="2"/>
        <scheme val="minor"/>
      </rPr>
      <t>Amount</t>
    </r>
    <r>
      <rPr>
        <sz val="11"/>
        <color theme="1"/>
        <rFont val="Calibri"/>
        <family val="2"/>
        <scheme val="minor"/>
      </rPr>
      <t xml:space="preserve">  </t>
    </r>
  </si>
  <si>
    <t>Housing Subsidy</t>
  </si>
  <si>
    <t>Vehicle Allowance</t>
  </si>
  <si>
    <t>Medical Aid</t>
  </si>
  <si>
    <t>Gross Income</t>
  </si>
  <si>
    <t>DEDUCTIONS</t>
  </si>
  <si>
    <t>Amount</t>
  </si>
  <si>
    <t>Pension @8%</t>
  </si>
  <si>
    <t>PAYE</t>
  </si>
  <si>
    <t>UIF</t>
  </si>
  <si>
    <t>Bond Repayment</t>
  </si>
  <si>
    <t>Total Deduction</t>
  </si>
  <si>
    <t>Net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</si>
</sst>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15" fontId="0" fillId="0" borderId="0" xfId="0" applyNumberFormat="1" applyAlignment="1">
      <alignment horizontal="center"/>
    </xf>
    <xf numFmtId="164" fontId="0" fillId="0" borderId="0" xfId="0" applyNumberFormat="1"/>
    <xf numFmtId="2" fontId="0" fillId="0" borderId="0" xfId="0" applyNumberFormat="1" applyAlignment="1">
      <alignment horizont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B9D9-1EC3-4F84-A0F1-F323E841C3B8}">
  <dimension ref="A1:E14"/>
  <sheetViews>
    <sheetView tabSelected="1" view="pageLayout" zoomScale="81" zoomScaleNormal="100" zoomScalePageLayoutView="81" workbookViewId="0">
      <selection activeCell="E12" sqref="B7:E12"/>
    </sheetView>
  </sheetViews>
  <sheetFormatPr defaultRowHeight="14.4" x14ac:dyDescent="0.3"/>
  <cols>
    <col min="1" max="1" width="18.5546875" customWidth="1"/>
    <col min="2" max="2" width="19.44140625" customWidth="1"/>
    <col min="4" max="4" width="20.5546875" customWidth="1"/>
    <col min="5" max="5" width="10.6640625" style="2" customWidth="1"/>
  </cols>
  <sheetData>
    <row r="1" spans="1:5" x14ac:dyDescent="0.3">
      <c r="A1" s="2" t="s">
        <v>0</v>
      </c>
      <c r="B1" s="1" t="s">
        <v>1</v>
      </c>
    </row>
    <row r="2" spans="1:5" x14ac:dyDescent="0.3">
      <c r="A2" s="2" t="s">
        <v>2</v>
      </c>
      <c r="B2" s="1">
        <v>4</v>
      </c>
    </row>
    <row r="3" spans="1:5" x14ac:dyDescent="0.3">
      <c r="A3" s="2" t="s">
        <v>3</v>
      </c>
      <c r="B3" s="3">
        <v>42460</v>
      </c>
    </row>
    <row r="4" spans="1:5" x14ac:dyDescent="0.3">
      <c r="A4" s="2" t="s">
        <v>4</v>
      </c>
      <c r="B4" s="3">
        <v>42490</v>
      </c>
    </row>
    <row r="5" spans="1:5" x14ac:dyDescent="0.3">
      <c r="A5" s="2" t="s">
        <v>5</v>
      </c>
      <c r="B5" s="5">
        <v>31200</v>
      </c>
    </row>
    <row r="7" spans="1:5" x14ac:dyDescent="0.3">
      <c r="A7" s="2" t="s">
        <v>6</v>
      </c>
      <c r="B7" s="4" t="s">
        <v>8</v>
      </c>
      <c r="C7" s="4"/>
      <c r="D7" s="6" t="s">
        <v>13</v>
      </c>
      <c r="E7" s="6" t="s">
        <v>14</v>
      </c>
    </row>
    <row r="8" spans="1:5" x14ac:dyDescent="0.3">
      <c r="A8" s="2" t="s">
        <v>7</v>
      </c>
      <c r="B8" s="4">
        <f>B5/12</f>
        <v>2600</v>
      </c>
      <c r="C8" s="4"/>
      <c r="D8" s="6" t="s">
        <v>15</v>
      </c>
      <c r="E8" s="4">
        <f>B8*8%</f>
        <v>208</v>
      </c>
    </row>
    <row r="9" spans="1:5" x14ac:dyDescent="0.3">
      <c r="A9" s="2" t="s">
        <v>9</v>
      </c>
      <c r="B9" s="4">
        <f>6000/12</f>
        <v>500</v>
      </c>
      <c r="C9" s="4"/>
      <c r="D9" s="6" t="s">
        <v>16</v>
      </c>
      <c r="E9" s="4">
        <v>636.83000000000004</v>
      </c>
    </row>
    <row r="10" spans="1:5" x14ac:dyDescent="0.3">
      <c r="A10" s="2" t="s">
        <v>10</v>
      </c>
      <c r="B10" s="4">
        <f>100</f>
        <v>100</v>
      </c>
      <c r="C10" s="4"/>
      <c r="D10" s="6" t="s">
        <v>17</v>
      </c>
      <c r="E10" s="4">
        <f>(B8+B9)*1%</f>
        <v>31</v>
      </c>
    </row>
    <row r="11" spans="1:5" x14ac:dyDescent="0.3">
      <c r="A11" s="2" t="s">
        <v>11</v>
      </c>
      <c r="B11" s="4">
        <v>70</v>
      </c>
      <c r="C11" s="4"/>
      <c r="D11" s="6" t="s">
        <v>18</v>
      </c>
      <c r="E11" s="4">
        <v>630</v>
      </c>
    </row>
    <row r="12" spans="1:5" x14ac:dyDescent="0.3">
      <c r="A12" s="2" t="s">
        <v>12</v>
      </c>
      <c r="B12" s="4">
        <f>SUM(B8:B11)</f>
        <v>3270</v>
      </c>
      <c r="C12" s="4"/>
      <c r="D12" s="6" t="s">
        <v>19</v>
      </c>
      <c r="E12" s="4">
        <f>SUM(E8:E11)</f>
        <v>1505.83</v>
      </c>
    </row>
    <row r="13" spans="1:5" x14ac:dyDescent="0.3">
      <c r="B13" s="4"/>
    </row>
    <row r="14" spans="1:5" x14ac:dyDescent="0.3">
      <c r="A14" s="2" t="s">
        <v>20</v>
      </c>
      <c r="B14" s="4">
        <f>B12-E12</f>
        <v>1764.17</v>
      </c>
    </row>
  </sheetData>
  <pageMargins left="0.7" right="0.7" top="0.75" bottom="0.75" header="0.3" footer="0.3"/>
  <pageSetup orientation="portrait" r:id="rId1"/>
  <headerFooter>
    <oddHeader>&amp;L&amp;"-,Bold"&amp;14SALARY ADVICE FOR MARCH 2016</oddHeader>
    <oddFooter>&amp;L Ankita 26CAMSAG160&amp;C
M.C.A&amp;RProblem 3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48D00A-135E-4BFE-972A-E542E1286B7E}">
  <dimension ref="A1:E14"/>
  <sheetViews>
    <sheetView showFormulas="1" view="pageLayout" zoomScale="81" zoomScaleNormal="100" zoomScalePageLayoutView="81" workbookViewId="0">
      <selection activeCell="D17" sqref="D17"/>
    </sheetView>
  </sheetViews>
  <sheetFormatPr defaultRowHeight="14.4" x14ac:dyDescent="0.3"/>
  <cols>
    <col min="1" max="1" width="18.5546875" customWidth="1"/>
    <col min="2" max="2" width="19.44140625" customWidth="1"/>
    <col min="4" max="4" width="20.5546875" customWidth="1"/>
    <col min="5" max="5" width="10.6640625" style="2" customWidth="1"/>
  </cols>
  <sheetData>
    <row r="1" spans="1:5" x14ac:dyDescent="0.3">
      <c r="A1" s="2" t="s">
        <v>0</v>
      </c>
      <c r="B1" s="1" t="s">
        <v>1</v>
      </c>
    </row>
    <row r="2" spans="1:5" x14ac:dyDescent="0.3">
      <c r="A2" s="2" t="s">
        <v>2</v>
      </c>
      <c r="B2" s="1">
        <v>4</v>
      </c>
    </row>
    <row r="3" spans="1:5" x14ac:dyDescent="0.3">
      <c r="A3" s="2" t="s">
        <v>3</v>
      </c>
      <c r="B3" s="3">
        <v>42460</v>
      </c>
    </row>
    <row r="4" spans="1:5" x14ac:dyDescent="0.3">
      <c r="A4" s="2" t="s">
        <v>4</v>
      </c>
      <c r="B4" s="3">
        <v>42490</v>
      </c>
    </row>
    <row r="5" spans="1:5" x14ac:dyDescent="0.3">
      <c r="A5" s="2" t="s">
        <v>5</v>
      </c>
      <c r="B5" s="5">
        <v>31200</v>
      </c>
    </row>
    <row r="7" spans="1:5" x14ac:dyDescent="0.3">
      <c r="A7" s="2" t="s">
        <v>6</v>
      </c>
      <c r="B7" t="s">
        <v>8</v>
      </c>
      <c r="D7" s="2" t="s">
        <v>13</v>
      </c>
      <c r="E7" s="2" t="s">
        <v>14</v>
      </c>
    </row>
    <row r="8" spans="1:5" x14ac:dyDescent="0.3">
      <c r="A8" s="2" t="s">
        <v>7</v>
      </c>
      <c r="B8" s="4">
        <f>B5/12</f>
        <v>2600</v>
      </c>
      <c r="D8" s="2" t="s">
        <v>15</v>
      </c>
      <c r="E8" s="4">
        <f>B8*8%</f>
        <v>208</v>
      </c>
    </row>
    <row r="9" spans="1:5" x14ac:dyDescent="0.3">
      <c r="A9" s="2" t="s">
        <v>9</v>
      </c>
      <c r="B9" s="4">
        <f>6000/12</f>
        <v>500</v>
      </c>
      <c r="D9" s="2" t="s">
        <v>16</v>
      </c>
      <c r="E9" s="4">
        <v>636.83000000000004</v>
      </c>
    </row>
    <row r="10" spans="1:5" x14ac:dyDescent="0.3">
      <c r="A10" s="2" t="s">
        <v>10</v>
      </c>
      <c r="B10" s="4">
        <f>100</f>
        <v>100</v>
      </c>
      <c r="D10" s="2" t="s">
        <v>17</v>
      </c>
      <c r="E10" s="4">
        <f>(B8+B9)*1%</f>
        <v>31</v>
      </c>
    </row>
    <row r="11" spans="1:5" x14ac:dyDescent="0.3">
      <c r="A11" s="2" t="s">
        <v>11</v>
      </c>
      <c r="B11" s="4">
        <v>70</v>
      </c>
      <c r="D11" s="2" t="s">
        <v>18</v>
      </c>
      <c r="E11" s="4">
        <v>630</v>
      </c>
    </row>
    <row r="12" spans="1:5" x14ac:dyDescent="0.3">
      <c r="A12" s="2" t="s">
        <v>12</v>
      </c>
      <c r="B12" s="4">
        <f>SUM(B8:B11)</f>
        <v>3270</v>
      </c>
      <c r="D12" s="2" t="s">
        <v>19</v>
      </c>
      <c r="E12" s="4">
        <f>SUM(E8:E11)</f>
        <v>1505.83</v>
      </c>
    </row>
    <row r="13" spans="1:5" x14ac:dyDescent="0.3">
      <c r="B13" s="4"/>
    </row>
    <row r="14" spans="1:5" x14ac:dyDescent="0.3">
      <c r="A14" s="2" t="s">
        <v>20</v>
      </c>
      <c r="B14" s="4">
        <f>B12-E12</f>
        <v>1764.17</v>
      </c>
    </row>
  </sheetData>
  <pageMargins left="0.7" right="0.7" top="0.75" bottom="0.75" header="0.3" footer="0.3"/>
  <pageSetup orientation="portrait" r:id="rId1"/>
  <headerFooter>
    <oddHeader>&amp;L&amp;"-,Bold"&amp;14SALARY ADVICE FOR MARCH 2016</oddHeader>
    <oddFooter>&amp;L Ankita 26CAMSAG160&amp;C
M.C.A&amp;RProblem 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CSD</dc:creator>
  <cp:lastModifiedBy>Ankita Maurya</cp:lastModifiedBy>
  <dcterms:created xsi:type="dcterms:W3CDTF">2026-08-12T07:05:58Z</dcterms:created>
  <dcterms:modified xsi:type="dcterms:W3CDTF">2026-08-18T11:48:35Z</dcterms:modified>
</cp:coreProperties>
</file>