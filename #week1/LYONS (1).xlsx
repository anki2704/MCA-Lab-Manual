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6156e6d6a93d239/Desktop/MCA Lab Manual 1sem/#week1/"/>
    </mc:Choice>
  </mc:AlternateContent>
  <xr:revisionPtr revIDLastSave="265" documentId="13_ncr:1_{B0ACB1D2-80E1-473D-A5FC-242929A6434D}" xr6:coauthVersionLast="47" xr6:coauthVersionMax="47" xr10:uidLastSave="{25E26ABA-1E5C-4585-8B8C-84E6C1D7CB62}"/>
  <bookViews>
    <workbookView xWindow="-96" yWindow="0" windowWidth="11712" windowHeight="13056" xr2:uid="{00000000-000D-0000-FFFF-FFFF00000000}"/>
  </bookViews>
  <sheets>
    <sheet name="LYONS2 " sheetId="5" r:id="rId1"/>
    <sheet name="formul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5" l="1"/>
  <c r="E12" i="5"/>
  <c r="E11" i="5"/>
  <c r="E10" i="5"/>
  <c r="B10" i="5"/>
  <c r="C8" i="5"/>
  <c r="D8" i="5" s="1"/>
  <c r="F8" i="5" s="1"/>
  <c r="G8" i="5" s="1"/>
  <c r="C7" i="5"/>
  <c r="D7" i="5" s="1"/>
  <c r="F7" i="5" s="1"/>
  <c r="G7" i="5" s="1"/>
  <c r="C6" i="5"/>
  <c r="D6" i="5" s="1"/>
  <c r="F6" i="5" s="1"/>
  <c r="G6" i="5" s="1"/>
  <c r="C5" i="5"/>
  <c r="D5" i="5" s="1"/>
  <c r="F5" i="5" s="1"/>
  <c r="G5" i="5" s="1"/>
  <c r="C4" i="5"/>
  <c r="C10" i="3"/>
  <c r="B10" i="3"/>
  <c r="E10" i="3"/>
  <c r="E13" i="3"/>
  <c r="E12" i="3"/>
  <c r="E11" i="3"/>
  <c r="C8" i="3"/>
  <c r="D8" i="3" s="1"/>
  <c r="F8" i="3" s="1"/>
  <c r="G8" i="3" s="1"/>
  <c r="C7" i="3"/>
  <c r="D7" i="3" s="1"/>
  <c r="F7" i="3" s="1"/>
  <c r="G7" i="3" s="1"/>
  <c r="C6" i="3"/>
  <c r="D6" i="3" s="1"/>
  <c r="F6" i="3" s="1"/>
  <c r="G6" i="3" s="1"/>
  <c r="C5" i="3"/>
  <c r="D5" i="3" s="1"/>
  <c r="F5" i="3" s="1"/>
  <c r="G5" i="3" s="1"/>
  <c r="C4" i="3"/>
  <c r="C10" i="5" l="1"/>
  <c r="D4" i="5"/>
  <c r="D4" i="3"/>
  <c r="F4" i="5" l="1"/>
  <c r="D10" i="5"/>
  <c r="D11" i="5"/>
  <c r="D12" i="5"/>
  <c r="D13" i="5"/>
  <c r="D10" i="3"/>
  <c r="D13" i="3"/>
  <c r="D12" i="3"/>
  <c r="F4" i="3"/>
  <c r="D11" i="3"/>
  <c r="G4" i="5" l="1"/>
  <c r="F10" i="5"/>
  <c r="F11" i="5"/>
  <c r="F12" i="5"/>
  <c r="F13" i="5"/>
  <c r="F13" i="3"/>
  <c r="F10" i="3"/>
  <c r="F11" i="3"/>
  <c r="F12" i="3"/>
  <c r="G4" i="3"/>
  <c r="G13" i="3" s="1"/>
  <c r="G12" i="3"/>
  <c r="G11" i="3"/>
  <c r="G10" i="3"/>
  <c r="G10" i="5" l="1"/>
  <c r="G11" i="5"/>
  <c r="G12" i="5"/>
  <c r="G13" i="5"/>
</calcChain>
</file>

<file path=xl/sharedStrings.xml><?xml version="1.0" encoding="utf-8"?>
<sst xmlns="http://schemas.openxmlformats.org/spreadsheetml/2006/main" count="36" uniqueCount="18">
  <si>
    <t>LYONS INC - Orange JUICE Sales</t>
  </si>
  <si>
    <t>PRODUCT</t>
  </si>
  <si>
    <t>COST PRICE
PER LITRE</t>
  </si>
  <si>
    <t>MARK UP
PER ITEM 35%</t>
  </si>
  <si>
    <t>SELLING
PRICE</t>
  </si>
  <si>
    <t>PROFIT</t>
  </si>
  <si>
    <t>Cascade</t>
  </si>
  <si>
    <t>Quench</t>
  </si>
  <si>
    <t>Xtra</t>
  </si>
  <si>
    <t>House Brand</t>
  </si>
  <si>
    <t>TOTAL</t>
  </si>
  <si>
    <t>HIGHEST SELLING PRICE</t>
  </si>
  <si>
    <t>AVERAGE SELLING PRICE</t>
  </si>
  <si>
    <t>LOWEST SELLING PRICE</t>
  </si>
  <si>
    <t>MARKUP %</t>
  </si>
  <si>
    <t>LITRES SOLD</t>
  </si>
  <si>
    <t>TOTAL INCOME</t>
  </si>
  <si>
    <r>
      <rPr>
        <b/>
        <sz val="11"/>
        <color theme="1"/>
        <rFont val="Calisto MT"/>
        <family val="1"/>
      </rPr>
      <t>Sun</t>
    </r>
    <r>
      <rPr>
        <sz val="11"/>
        <color theme="1"/>
        <rFont val="Calisto MT"/>
        <family val="1"/>
      </rPr>
      <t xml:space="preserve"> </t>
    </r>
    <r>
      <rPr>
        <b/>
        <sz val="11"/>
        <color theme="1"/>
        <rFont val="Calisto MT"/>
        <family val="1"/>
      </rPr>
      <t>Splash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</si>
</sst>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sto MT"/>
      <family val="1"/>
    </font>
    <font>
      <b/>
      <sz val="11"/>
      <color theme="1"/>
      <name val="Calisto MT"/>
      <family val="1"/>
    </font>
    <font>
      <sz val="11"/>
      <color theme="1"/>
      <name val="Calisto MT"/>
      <family val="1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ck">
        <color indexed="64"/>
      </top>
      <bottom style="thin">
        <color rgb="FF808080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rgb="FF808080"/>
      </bottom>
      <diagonal/>
    </border>
    <border>
      <left style="thin">
        <color rgb="FF808080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rgb="FF808080"/>
      </top>
      <bottom style="thick">
        <color indexed="64"/>
      </bottom>
      <diagonal/>
    </border>
    <border>
      <left/>
      <right style="thin">
        <color rgb="FF808080"/>
      </right>
      <top style="thin">
        <color rgb="FF808080"/>
      </top>
      <bottom style="thick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ck">
        <color indexed="64"/>
      </bottom>
      <diagonal/>
    </border>
    <border>
      <left style="thin">
        <color rgb="FF808080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rgb="FF808080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7" xfId="0" applyFont="1" applyBorder="1"/>
    <xf numFmtId="2" fontId="4" fillId="0" borderId="5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/>
    </xf>
    <xf numFmtId="0" fontId="3" fillId="0" borderId="9" xfId="0" applyFont="1" applyBorder="1"/>
    <xf numFmtId="2" fontId="4" fillId="0" borderId="4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/>
    <xf numFmtId="0" fontId="3" fillId="0" borderId="11" xfId="0" applyFont="1" applyBorder="1"/>
    <xf numFmtId="0" fontId="4" fillId="0" borderId="11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17" xfId="0" applyFont="1" applyBorder="1"/>
    <xf numFmtId="0" fontId="4" fillId="0" borderId="1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9" xfId="0" applyFont="1" applyBorder="1"/>
    <xf numFmtId="0" fontId="4" fillId="0" borderId="6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4" fillId="0" borderId="20" xfId="0" applyFont="1" applyBorder="1"/>
    <xf numFmtId="0" fontId="2" fillId="0" borderId="11" xfId="0" applyFont="1" applyBorder="1"/>
    <xf numFmtId="0" fontId="4" fillId="0" borderId="4" xfId="0" applyFont="1" applyBorder="1" applyAlignment="1">
      <alignment horizontal="center" vertical="center"/>
    </xf>
    <xf numFmtId="0" fontId="2" fillId="0" borderId="13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4" fillId="0" borderId="16" xfId="0" applyFont="1" applyBorder="1"/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0" fillId="0" borderId="22" xfId="0" applyBorder="1"/>
    <xf numFmtId="0" fontId="2" fillId="2" borderId="21" xfId="0" applyFont="1" applyFill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COST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5C1-4362-8BEB-163F957E2D1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5C1-4362-8BEB-163F957E2D1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5C1-4362-8BEB-163F957E2D1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5C1-4362-8BEB-163F957E2D1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95C1-4362-8BEB-163F957E2D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840000" spcFirstLastPara="1" vertOverflow="ellipsis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'LYONS2 '!$A$4:$A$8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'LYONS2 '!$B$4:$B$8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C1-4362-8BEB-163F957E2D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COST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228-4A7C-AA09-86ADBA84A1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228-4A7C-AA09-86ADBA84A1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228-4A7C-AA09-86ADBA84A1F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228-4A7C-AA09-86ADBA84A1F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228-4A7C-AA09-86ADBA84A1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840000" spcFirstLastPara="1" vertOverflow="ellipsis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formulas!$A$4:$A$8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formulas!$B$4:$B$8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0-4E03-AAA8-5DB66D06A50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820185</xdr:colOff>
      <xdr:row>13</xdr:row>
      <xdr:rowOff>180642</xdr:rowOff>
    </xdr:from>
    <xdr:to>
      <xdr:col>3</xdr:col>
      <xdr:colOff>349597</xdr:colOff>
      <xdr:row>28</xdr:row>
      <xdr:rowOff>180642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DBF67-E7DB-4447-8B73-4B6DDA34A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</xdr:colOff>
      <xdr:row>13</xdr:row>
      <xdr:rowOff>179070</xdr:rowOff>
    </xdr:from>
    <xdr:to>
      <xdr:col>2</xdr:col>
      <xdr:colOff>1543050</xdr:colOff>
      <xdr:row>28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098543-3094-D049-7605-D44CAEBE1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DFF7-15C7-49BF-B25C-B9A2383F6D23}">
  <dimension ref="A1:H14"/>
  <sheetViews>
    <sheetView tabSelected="1" zoomScale="73" workbookViewId="0">
      <pane ySplit="3" topLeftCell="A4" activePane="bottomLeft" state="frozen"/>
      <selection pane="bottomLeft" activeCell="F21" sqref="F21"/>
    </sheetView>
  </sheetViews>
  <sheetFormatPr defaultRowHeight="14.4" x14ac:dyDescent="0.3"/>
  <cols>
    <col min="1" max="1" width="28.77734375" customWidth="1"/>
    <col min="2" max="2" width="24" customWidth="1"/>
    <col min="3" max="3" width="28.6640625" customWidth="1"/>
    <col min="4" max="4" width="20.5546875" customWidth="1"/>
    <col min="5" max="5" width="13" customWidth="1"/>
    <col min="6" max="6" width="20.88671875" customWidth="1"/>
    <col min="7" max="7" width="15" customWidth="1"/>
    <col min="8" max="8" width="15.88671875" customWidth="1"/>
  </cols>
  <sheetData>
    <row r="1" spans="1:8" ht="28.8" customHeight="1" x14ac:dyDescent="0.35">
      <c r="A1" s="48" t="s">
        <v>0</v>
      </c>
      <c r="B1" s="49"/>
      <c r="C1" s="49"/>
      <c r="D1" s="49"/>
      <c r="E1" s="49"/>
      <c r="F1" s="49"/>
      <c r="G1" s="49"/>
    </row>
    <row r="2" spans="1:8" ht="15" thickBot="1" x14ac:dyDescent="0.35"/>
    <row r="3" spans="1:8" s="31" customFormat="1" ht="36" customHeight="1" thickBot="1" x14ac:dyDescent="0.35">
      <c r="A3" s="29" t="s">
        <v>1</v>
      </c>
      <c r="B3" s="29" t="s">
        <v>2</v>
      </c>
      <c r="C3" s="32" t="s">
        <v>3</v>
      </c>
      <c r="D3" s="32" t="s">
        <v>4</v>
      </c>
      <c r="E3" s="29" t="s">
        <v>15</v>
      </c>
      <c r="F3" s="32" t="s">
        <v>16</v>
      </c>
      <c r="G3" s="32" t="s">
        <v>5</v>
      </c>
      <c r="H3" s="30" t="s">
        <v>14</v>
      </c>
    </row>
    <row r="4" spans="1:8" x14ac:dyDescent="0.3">
      <c r="A4" s="1" t="s">
        <v>6</v>
      </c>
      <c r="B4" s="2">
        <v>3.75</v>
      </c>
      <c r="C4" s="3">
        <f>B4*$H$4</f>
        <v>1.3125</v>
      </c>
      <c r="D4" s="3">
        <f>B4+C4</f>
        <v>5.0625</v>
      </c>
      <c r="E4" s="4">
        <v>234</v>
      </c>
      <c r="F4" s="3">
        <f>D4*E4</f>
        <v>1184.625</v>
      </c>
      <c r="G4" s="3">
        <f>F4-(B4*E4)</f>
        <v>307.125</v>
      </c>
      <c r="H4" s="5">
        <v>0.35</v>
      </c>
    </row>
    <row r="5" spans="1:8" x14ac:dyDescent="0.3">
      <c r="A5" s="6" t="s">
        <v>7</v>
      </c>
      <c r="B5" s="7">
        <v>3.65</v>
      </c>
      <c r="C5" s="8">
        <f>B5*$H$4</f>
        <v>1.2774999999999999</v>
      </c>
      <c r="D5" s="8">
        <f>B5+C5</f>
        <v>4.9275000000000002</v>
      </c>
      <c r="E5" s="9">
        <v>345</v>
      </c>
      <c r="F5" s="8">
        <f>D5*E5</f>
        <v>1699.9875000000002</v>
      </c>
      <c r="G5" s="8">
        <f>F5-(B5*E5)</f>
        <v>440.73750000000018</v>
      </c>
      <c r="H5" s="10"/>
    </row>
    <row r="6" spans="1:8" x14ac:dyDescent="0.3">
      <c r="A6" s="11" t="s">
        <v>8</v>
      </c>
      <c r="B6" s="7">
        <v>4.25</v>
      </c>
      <c r="C6" s="8">
        <f>B6*$H$4</f>
        <v>1.4874999999999998</v>
      </c>
      <c r="D6" s="8">
        <f>B6+C6</f>
        <v>5.7374999999999998</v>
      </c>
      <c r="E6" s="9">
        <v>456</v>
      </c>
      <c r="F6" s="8">
        <f>D6*E6</f>
        <v>2616.2999999999997</v>
      </c>
      <c r="G6" s="8">
        <f>F6-(B6*E6)</f>
        <v>678.29999999999973</v>
      </c>
      <c r="H6" s="10"/>
    </row>
    <row r="7" spans="1:8" x14ac:dyDescent="0.3">
      <c r="A7" s="12" t="s">
        <v>17</v>
      </c>
      <c r="B7" s="7">
        <v>1.5</v>
      </c>
      <c r="C7" s="8">
        <f>B7*$H$4</f>
        <v>0.52499999999999991</v>
      </c>
      <c r="D7" s="8">
        <f>B7+C7</f>
        <v>2.0249999999999999</v>
      </c>
      <c r="E7" s="9">
        <v>123</v>
      </c>
      <c r="F7" s="8">
        <f>D7*E7</f>
        <v>249.07499999999999</v>
      </c>
      <c r="G7" s="8">
        <f>F7-(B7*E7)</f>
        <v>64.574999999999989</v>
      </c>
      <c r="H7" s="13"/>
    </row>
    <row r="8" spans="1:8" x14ac:dyDescent="0.3">
      <c r="A8" s="11" t="s">
        <v>9</v>
      </c>
      <c r="B8" s="7">
        <v>1.5</v>
      </c>
      <c r="C8" s="8">
        <f>B8*$H$4</f>
        <v>0.52499999999999991</v>
      </c>
      <c r="D8" s="8">
        <f>B8+C8</f>
        <v>2.0249999999999999</v>
      </c>
      <c r="E8" s="9">
        <v>245</v>
      </c>
      <c r="F8" s="8">
        <f>D8*E8</f>
        <v>496.125</v>
      </c>
      <c r="G8" s="8">
        <f>F8-(B8*E8)</f>
        <v>128.625</v>
      </c>
      <c r="H8" s="14"/>
    </row>
    <row r="9" spans="1:8" ht="15" thickBot="1" x14ac:dyDescent="0.35">
      <c r="A9" s="15"/>
      <c r="B9" s="16"/>
      <c r="C9" s="17"/>
      <c r="D9" s="17"/>
      <c r="E9" s="17"/>
      <c r="F9" s="17"/>
      <c r="G9" s="17"/>
      <c r="H9" s="14"/>
    </row>
    <row r="10" spans="1:8" ht="23.4" customHeight="1" thickTop="1" x14ac:dyDescent="0.3">
      <c r="A10" s="18" t="s">
        <v>10</v>
      </c>
      <c r="B10" s="20">
        <f t="shared" ref="B10:G10" si="0">SUM(B4:B8)</f>
        <v>14.65</v>
      </c>
      <c r="C10" s="20">
        <f t="shared" si="0"/>
        <v>5.1274999999999995</v>
      </c>
      <c r="D10" s="20">
        <f t="shared" si="0"/>
        <v>19.777499999999996</v>
      </c>
      <c r="E10" s="19">
        <f t="shared" si="0"/>
        <v>1403</v>
      </c>
      <c r="F10" s="20">
        <f t="shared" si="0"/>
        <v>6246.1125000000002</v>
      </c>
      <c r="G10" s="20">
        <f t="shared" si="0"/>
        <v>1619.3625</v>
      </c>
      <c r="H10" s="21"/>
    </row>
    <row r="11" spans="1:8" ht="25.2" customHeight="1" x14ac:dyDescent="0.3">
      <c r="A11" s="22" t="s">
        <v>11</v>
      </c>
      <c r="B11" s="23"/>
      <c r="C11" s="9"/>
      <c r="D11" s="8">
        <f>MAX(D4:D8)</f>
        <v>5.7374999999999998</v>
      </c>
      <c r="E11" s="8">
        <f t="shared" ref="E11:G11" si="1">MAX(E4:E8)</f>
        <v>456</v>
      </c>
      <c r="F11" s="8">
        <f t="shared" si="1"/>
        <v>2616.2999999999997</v>
      </c>
      <c r="G11" s="8">
        <f t="shared" si="1"/>
        <v>678.29999999999973</v>
      </c>
      <c r="H11" s="14"/>
    </row>
    <row r="12" spans="1:8" ht="22.8" customHeight="1" x14ac:dyDescent="0.3">
      <c r="A12" s="22" t="s">
        <v>12</v>
      </c>
      <c r="B12" s="23"/>
      <c r="C12" s="9"/>
      <c r="D12" s="8">
        <f>AVERAGE(D4:D8)</f>
        <v>3.9554999999999993</v>
      </c>
      <c r="E12" s="8">
        <f t="shared" ref="E12:G12" si="2">AVERAGE(E4:E8)</f>
        <v>280.60000000000002</v>
      </c>
      <c r="F12" s="8">
        <f t="shared" si="2"/>
        <v>1249.2225000000001</v>
      </c>
      <c r="G12" s="8">
        <f t="shared" si="2"/>
        <v>323.8725</v>
      </c>
      <c r="H12" s="10"/>
    </row>
    <row r="13" spans="1:8" ht="25.8" customHeight="1" thickBot="1" x14ac:dyDescent="0.35">
      <c r="A13" s="24" t="s">
        <v>13</v>
      </c>
      <c r="B13" s="25"/>
      <c r="C13" s="26"/>
      <c r="D13" s="27">
        <f>MIN(D4:D8)</f>
        <v>2.0249999999999999</v>
      </c>
      <c r="E13" s="27">
        <f t="shared" ref="E13:F13" si="3">MIN(E4:E8)</f>
        <v>123</v>
      </c>
      <c r="F13" s="27">
        <f t="shared" si="3"/>
        <v>249.07499999999999</v>
      </c>
      <c r="G13" s="27">
        <f>MIN(G4:G8)</f>
        <v>64.574999999999989</v>
      </c>
      <c r="H13" s="28"/>
    </row>
    <row r="14" spans="1:8" ht="15" thickTop="1" x14ac:dyDescent="0.3"/>
  </sheetData>
  <mergeCells count="1">
    <mergeCell ref="A1:G1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2DF0-F2AB-4AA4-A9F0-884E644FE6F5}">
  <dimension ref="A1:H14"/>
  <sheetViews>
    <sheetView showFormulas="1" zoomScale="71" workbookViewId="0">
      <pane ySplit="3" topLeftCell="A4" activePane="bottomLeft" state="frozen"/>
      <selection pane="bottomLeft" activeCell="F29" sqref="F29"/>
    </sheetView>
  </sheetViews>
  <sheetFormatPr defaultRowHeight="14.4" x14ac:dyDescent="0.3"/>
  <cols>
    <col min="1" max="1" width="14.44140625" customWidth="1"/>
    <col min="2" max="2" width="12.88671875" customWidth="1"/>
    <col min="3" max="3" width="14.6640625" customWidth="1"/>
    <col min="4" max="4" width="10.44140625" bestFit="1" customWidth="1"/>
    <col min="5" max="5" width="10.109375" bestFit="1" customWidth="1"/>
    <col min="6" max="6" width="10" bestFit="1" customWidth="1"/>
    <col min="7" max="7" width="10.44140625" bestFit="1" customWidth="1"/>
    <col min="8" max="8" width="6.44140625" bestFit="1" customWidth="1"/>
  </cols>
  <sheetData>
    <row r="1" spans="1:8" ht="28.8" customHeight="1" x14ac:dyDescent="0.35">
      <c r="A1" s="48" t="s">
        <v>0</v>
      </c>
      <c r="B1" s="49"/>
      <c r="C1" s="49"/>
      <c r="D1" s="49"/>
      <c r="E1" s="49"/>
      <c r="F1" s="49"/>
      <c r="G1" s="49"/>
    </row>
    <row r="2" spans="1:8" ht="15" thickBot="1" x14ac:dyDescent="0.35"/>
    <row r="3" spans="1:8" s="31" customFormat="1" ht="36" customHeight="1" thickBot="1" x14ac:dyDescent="0.35">
      <c r="A3" s="29" t="s">
        <v>1</v>
      </c>
      <c r="B3" s="29" t="s">
        <v>2</v>
      </c>
      <c r="C3" s="32" t="s">
        <v>3</v>
      </c>
      <c r="D3" s="32" t="s">
        <v>4</v>
      </c>
      <c r="E3" s="29" t="s">
        <v>15</v>
      </c>
      <c r="F3" s="32" t="s">
        <v>16</v>
      </c>
      <c r="G3" s="32" t="s">
        <v>5</v>
      </c>
      <c r="H3" s="30" t="s">
        <v>14</v>
      </c>
    </row>
    <row r="4" spans="1:8" x14ac:dyDescent="0.3">
      <c r="A4" s="35" t="s">
        <v>6</v>
      </c>
      <c r="B4" s="2">
        <v>3.75</v>
      </c>
      <c r="C4" s="3">
        <f>B4*$H$4</f>
        <v>1.3125</v>
      </c>
      <c r="D4" s="3">
        <f>B4+C4</f>
        <v>5.0625</v>
      </c>
      <c r="E4" s="4">
        <v>234</v>
      </c>
      <c r="F4" s="3">
        <f>D4*E4</f>
        <v>1184.625</v>
      </c>
      <c r="G4" s="3">
        <f>F4-(B4*E4)</f>
        <v>307.125</v>
      </c>
      <c r="H4" s="33">
        <v>0.35</v>
      </c>
    </row>
    <row r="5" spans="1:8" x14ac:dyDescent="0.3">
      <c r="A5" s="36" t="s">
        <v>7</v>
      </c>
      <c r="B5" s="7">
        <v>3.65</v>
      </c>
      <c r="C5" s="8">
        <f>B5*$H$4</f>
        <v>1.2774999999999999</v>
      </c>
      <c r="D5" s="8">
        <f>B5+C5</f>
        <v>4.9275000000000002</v>
      </c>
      <c r="E5" s="9">
        <v>345</v>
      </c>
      <c r="F5" s="8">
        <f>D5*E5</f>
        <v>1699.9875000000002</v>
      </c>
      <c r="G5" s="8">
        <f>F5-(B5*E5)</f>
        <v>440.73750000000018</v>
      </c>
      <c r="H5" s="37"/>
    </row>
    <row r="6" spans="1:8" x14ac:dyDescent="0.3">
      <c r="A6" s="38" t="s">
        <v>8</v>
      </c>
      <c r="B6" s="7">
        <v>4.25</v>
      </c>
      <c r="C6" s="8">
        <f>B6*$H$4</f>
        <v>1.4874999999999998</v>
      </c>
      <c r="D6" s="8">
        <f>B6+C6</f>
        <v>5.7374999999999998</v>
      </c>
      <c r="E6" s="9">
        <v>456</v>
      </c>
      <c r="F6" s="8">
        <f>D6*E6</f>
        <v>2616.2999999999997</v>
      </c>
      <c r="G6" s="8">
        <f>F6-(B6*E6)</f>
        <v>678.29999999999973</v>
      </c>
      <c r="H6" s="37"/>
    </row>
    <row r="7" spans="1:8" x14ac:dyDescent="0.3">
      <c r="A7" s="39" t="s">
        <v>17</v>
      </c>
      <c r="B7" s="7">
        <v>1.5</v>
      </c>
      <c r="C7" s="8">
        <f>B7*$H$4</f>
        <v>0.52499999999999991</v>
      </c>
      <c r="D7" s="8">
        <f>B7+C7</f>
        <v>2.0249999999999999</v>
      </c>
      <c r="E7" s="9">
        <v>123</v>
      </c>
      <c r="F7" s="8">
        <f>D7*E7</f>
        <v>249.07499999999999</v>
      </c>
      <c r="G7" s="34">
        <f>F7-(B7*E7)</f>
        <v>64.574999999999989</v>
      </c>
      <c r="H7" s="40"/>
    </row>
    <row r="8" spans="1:8" x14ac:dyDescent="0.3">
      <c r="A8" s="38" t="s">
        <v>9</v>
      </c>
      <c r="B8" s="7">
        <v>1.5</v>
      </c>
      <c r="C8" s="8">
        <f>B8*$H$4</f>
        <v>0.52499999999999991</v>
      </c>
      <c r="D8" s="8">
        <f>B8+C8</f>
        <v>2.0249999999999999</v>
      </c>
      <c r="E8" s="9">
        <v>245</v>
      </c>
      <c r="F8" s="8">
        <f>D8*E8</f>
        <v>496.125</v>
      </c>
      <c r="G8" s="8">
        <f>F8-(B8*E8)</f>
        <v>128.625</v>
      </c>
      <c r="H8" s="41"/>
    </row>
    <row r="9" spans="1:8" ht="15" thickBot="1" x14ac:dyDescent="0.35">
      <c r="A9" s="42"/>
      <c r="B9" s="16"/>
      <c r="C9" s="17"/>
      <c r="D9" s="17"/>
      <c r="E9" s="17"/>
      <c r="F9" s="17"/>
      <c r="G9" s="17"/>
      <c r="H9" s="41"/>
    </row>
    <row r="10" spans="1:8" ht="23.4" customHeight="1" thickTop="1" x14ac:dyDescent="0.3">
      <c r="A10" s="43" t="s">
        <v>10</v>
      </c>
      <c r="B10" s="20">
        <f t="shared" ref="B10:G10" si="0">SUM(B4:B8)</f>
        <v>14.65</v>
      </c>
      <c r="C10" s="20">
        <f t="shared" si="0"/>
        <v>5.1274999999999995</v>
      </c>
      <c r="D10" s="20">
        <f t="shared" si="0"/>
        <v>19.777499999999996</v>
      </c>
      <c r="E10" s="19">
        <f t="shared" si="0"/>
        <v>1403</v>
      </c>
      <c r="F10" s="20">
        <f t="shared" si="0"/>
        <v>6246.1125000000002</v>
      </c>
      <c r="G10" s="20">
        <f t="shared" si="0"/>
        <v>1619.3625</v>
      </c>
      <c r="H10" s="44"/>
    </row>
    <row r="11" spans="1:8" ht="25.2" customHeight="1" x14ac:dyDescent="0.3">
      <c r="A11" s="45" t="s">
        <v>11</v>
      </c>
      <c r="B11" s="23"/>
      <c r="C11" s="9"/>
      <c r="D11" s="8">
        <f>MAX(D4:D8)</f>
        <v>5.7374999999999998</v>
      </c>
      <c r="E11" s="8">
        <f t="shared" ref="E11:G11" si="1">MAX(E4:E8)</f>
        <v>456</v>
      </c>
      <c r="F11" s="8">
        <f t="shared" si="1"/>
        <v>2616.2999999999997</v>
      </c>
      <c r="G11" s="8">
        <f t="shared" si="1"/>
        <v>678.29999999999973</v>
      </c>
      <c r="H11" s="41"/>
    </row>
    <row r="12" spans="1:8" ht="22.8" customHeight="1" x14ac:dyDescent="0.3">
      <c r="A12" s="45" t="s">
        <v>12</v>
      </c>
      <c r="B12" s="23"/>
      <c r="C12" s="9"/>
      <c r="D12" s="8">
        <f>AVERAGE(D4:D8)</f>
        <v>3.9554999999999993</v>
      </c>
      <c r="E12" s="8">
        <f t="shared" ref="E12:G12" si="2">AVERAGE(E4:E8)</f>
        <v>280.60000000000002</v>
      </c>
      <c r="F12" s="8">
        <f t="shared" si="2"/>
        <v>1249.2225000000001</v>
      </c>
      <c r="G12" s="8">
        <f t="shared" si="2"/>
        <v>323.8725</v>
      </c>
      <c r="H12" s="37"/>
    </row>
    <row r="13" spans="1:8" ht="25.8" customHeight="1" thickBot="1" x14ac:dyDescent="0.35">
      <c r="A13" s="46" t="s">
        <v>13</v>
      </c>
      <c r="B13" s="25"/>
      <c r="C13" s="26"/>
      <c r="D13" s="27">
        <f>MIN(D4:D8)</f>
        <v>2.0249999999999999</v>
      </c>
      <c r="E13" s="27">
        <f t="shared" ref="E13:F13" si="3">MIN(E4:E8)</f>
        <v>123</v>
      </c>
      <c r="F13" s="27">
        <f t="shared" si="3"/>
        <v>249.07499999999999</v>
      </c>
      <c r="G13" s="27">
        <f>MIN(G4:G8)</f>
        <v>64.574999999999989</v>
      </c>
      <c r="H13" s="47"/>
    </row>
    <row r="14" spans="1:8" ht="15" thickTop="1" x14ac:dyDescent="0.3"/>
  </sheetData>
  <mergeCells count="1">
    <mergeCell ref="A1:G1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LYONS2 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Ankita Maurya</cp:lastModifiedBy>
  <dcterms:created xsi:type="dcterms:W3CDTF">2026-08-13T03:50:55Z</dcterms:created>
  <dcterms:modified xsi:type="dcterms:W3CDTF">2026-08-18T11:57:40Z</dcterms:modified>
</cp:coreProperties>
</file>